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\OneDrive\Desktop\"/>
    </mc:Choice>
  </mc:AlternateContent>
  <xr:revisionPtr revIDLastSave="0" documentId="8_{5220E12E-FECC-4F0C-84D5-1DF7A0020777}" xr6:coauthVersionLast="47" xr6:coauthVersionMax="47" xr10:uidLastSave="{00000000-0000-0000-0000-000000000000}"/>
  <bookViews>
    <workbookView xWindow="-108" yWindow="-108" windowWidth="23256" windowHeight="12456" activeTab="5" xr2:uid="{A4EA8D11-900D-4EC2-BA55-8ABB3667F3FA}"/>
  </bookViews>
  <sheets>
    <sheet name="Data " sheetId="1" r:id="rId1"/>
    <sheet name="Income Statement" sheetId="2" r:id="rId2"/>
    <sheet name="Balance Sheet" sheetId="3" r:id="rId3"/>
    <sheet name="Cash Flow" sheetId="4" r:id="rId4"/>
    <sheet name="Ratios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2" l="1"/>
  <c r="F9" i="5"/>
  <c r="G9" i="5"/>
  <c r="H9" i="5"/>
  <c r="I9" i="5"/>
  <c r="E9" i="5"/>
  <c r="G8" i="5"/>
  <c r="H8" i="5"/>
  <c r="I8" i="5"/>
  <c r="F8" i="5"/>
  <c r="G7" i="5"/>
  <c r="H7" i="5"/>
  <c r="I7" i="5"/>
  <c r="F7" i="5"/>
  <c r="F16" i="5"/>
  <c r="G16" i="5"/>
  <c r="H16" i="5"/>
  <c r="I16" i="5"/>
  <c r="E16" i="5"/>
  <c r="F15" i="5"/>
  <c r="G15" i="5"/>
  <c r="H15" i="5"/>
  <c r="I15" i="5"/>
  <c r="E15" i="5"/>
  <c r="F14" i="5"/>
  <c r="G14" i="5"/>
  <c r="H14" i="5"/>
  <c r="I14" i="5"/>
  <c r="E14" i="5"/>
  <c r="F13" i="5"/>
  <c r="G13" i="5"/>
  <c r="H13" i="5"/>
  <c r="I13" i="5"/>
  <c r="E13" i="5"/>
  <c r="F12" i="5"/>
  <c r="G12" i="5"/>
  <c r="H12" i="5"/>
  <c r="I12" i="5"/>
  <c r="E12" i="5"/>
  <c r="F11" i="5"/>
  <c r="G11" i="5"/>
  <c r="H11" i="5"/>
  <c r="I11" i="5"/>
  <c r="F10" i="5"/>
  <c r="G10" i="5"/>
  <c r="H10" i="5"/>
  <c r="I10" i="5"/>
  <c r="E11" i="5"/>
  <c r="E10" i="5"/>
  <c r="I18" i="2"/>
  <c r="F12" i="4"/>
  <c r="G12" i="4"/>
  <c r="H12" i="4"/>
  <c r="I12" i="4"/>
  <c r="F10" i="4"/>
  <c r="G10" i="4"/>
  <c r="H10" i="4"/>
  <c r="I10" i="4"/>
  <c r="E12" i="4"/>
  <c r="E10" i="4"/>
  <c r="I22" i="2"/>
  <c r="J22" i="2"/>
  <c r="K22" i="2"/>
  <c r="L22" i="2"/>
  <c r="I21" i="2"/>
  <c r="J21" i="2"/>
  <c r="K21" i="2"/>
  <c r="L21" i="2"/>
  <c r="J20" i="2"/>
  <c r="K20" i="2"/>
  <c r="L20" i="2"/>
  <c r="J19" i="2"/>
  <c r="K19" i="2"/>
  <c r="L19" i="2"/>
  <c r="J18" i="2"/>
  <c r="K18" i="2"/>
  <c r="L18" i="2"/>
  <c r="E19" i="3"/>
  <c r="F19" i="3"/>
  <c r="G19" i="3"/>
  <c r="H19" i="3"/>
  <c r="I19" i="3"/>
  <c r="F18" i="3"/>
  <c r="G18" i="3"/>
  <c r="H18" i="3"/>
  <c r="I18" i="3"/>
  <c r="F12" i="3"/>
  <c r="G12" i="3"/>
  <c r="H12" i="3"/>
  <c r="I12" i="3"/>
  <c r="E18" i="3"/>
  <c r="E12" i="3"/>
  <c r="H11" i="2"/>
  <c r="H13" i="2" s="1"/>
  <c r="I11" i="2"/>
  <c r="I13" i="2" s="1"/>
  <c r="J11" i="2"/>
  <c r="J13" i="2" s="1"/>
  <c r="K11" i="2"/>
  <c r="K13" i="2" s="1"/>
  <c r="L11" i="2"/>
  <c r="L13" i="2" s="1"/>
  <c r="I19" i="2"/>
  <c r="H15" i="2" l="1"/>
  <c r="H21" i="2" s="1"/>
  <c r="H22" i="2"/>
  <c r="I15" i="2"/>
  <c r="J15" i="2"/>
  <c r="K15" i="2"/>
  <c r="I20" i="2" l="1"/>
</calcChain>
</file>

<file path=xl/sharedStrings.xml><?xml version="1.0" encoding="utf-8"?>
<sst xmlns="http://schemas.openxmlformats.org/spreadsheetml/2006/main" count="84" uniqueCount="58">
  <si>
    <t>2019-20</t>
  </si>
  <si>
    <t xml:space="preserve">Income Statement For the year ending 31st march </t>
  </si>
  <si>
    <t xml:space="preserve">Particulars </t>
  </si>
  <si>
    <t>Amount</t>
  </si>
  <si>
    <t>Profit Before Tax</t>
  </si>
  <si>
    <t>Tax Expense</t>
  </si>
  <si>
    <t xml:space="preserve">Revenue From Operations </t>
  </si>
  <si>
    <t xml:space="preserve">Other Income </t>
  </si>
  <si>
    <t xml:space="preserve">Total Income </t>
  </si>
  <si>
    <t>Total Expenses</t>
  </si>
  <si>
    <t>Profit After Tax</t>
  </si>
  <si>
    <t>2020-21</t>
  </si>
  <si>
    <t>2021-22</t>
  </si>
  <si>
    <t>2022-23</t>
  </si>
  <si>
    <t>2023-24</t>
  </si>
  <si>
    <t>Revenue Growth %</t>
  </si>
  <si>
    <t>Expense Growth %</t>
  </si>
  <si>
    <t>PAT Growth %</t>
  </si>
  <si>
    <t>Net Profit Margin %</t>
  </si>
  <si>
    <t>Effective Tax Rate %</t>
  </si>
  <si>
    <t xml:space="preserve">Equity </t>
  </si>
  <si>
    <t>Total Equity</t>
  </si>
  <si>
    <t>Current Assets</t>
  </si>
  <si>
    <t>Total Current Assets</t>
  </si>
  <si>
    <t>Non-current Assets</t>
  </si>
  <si>
    <t>Total Non-current Assets</t>
  </si>
  <si>
    <t>Liabilities</t>
  </si>
  <si>
    <t>Total Current Liabilities</t>
  </si>
  <si>
    <t>Total Non-current Liabilities</t>
  </si>
  <si>
    <t>Total Liabilities</t>
  </si>
  <si>
    <t>Total Equity and Liabilities</t>
  </si>
  <si>
    <t>Assets</t>
  </si>
  <si>
    <t>Total Assets</t>
  </si>
  <si>
    <t>Financial Position For The Year Ending 31st March</t>
  </si>
  <si>
    <t>Particulars</t>
  </si>
  <si>
    <t>Net Cash from Operating Activities</t>
  </si>
  <si>
    <t>Net Cash from Investing Activities</t>
  </si>
  <si>
    <t>Net Cash from Financing Activities</t>
  </si>
  <si>
    <t>Net Increase / (Decrease) in Cash</t>
  </si>
  <si>
    <t>Cash &amp; Cash Equivalents at Beginning</t>
  </si>
  <si>
    <t>Cash &amp; Cash Equivalents at End</t>
  </si>
  <si>
    <t>Profit Growth %</t>
  </si>
  <si>
    <t>ROA %</t>
  </si>
  <si>
    <t>ROE %</t>
  </si>
  <si>
    <t>Current Ratio</t>
  </si>
  <si>
    <t>Debt Ratio</t>
  </si>
  <si>
    <t>Debt to Equity</t>
  </si>
  <si>
    <t>Asset Turnover</t>
  </si>
  <si>
    <t>Operating Cash Flow Ratio</t>
  </si>
  <si>
    <t>Revenue</t>
  </si>
  <si>
    <t>PAT</t>
  </si>
  <si>
    <t>Operating Cash Flow</t>
  </si>
  <si>
    <t>ROE</t>
  </si>
  <si>
    <t>Net Profit Margin</t>
  </si>
  <si>
    <t>.</t>
  </si>
  <si>
    <t>INFOSYS FINANCIAL DASHBOARD(2024)</t>
  </si>
  <si>
    <t>https://www.infosys.com/investors/reports-filings/annual-report/annual-reports.html</t>
  </si>
  <si>
    <t>All the following data have been extracted from the consolidated balance sheet of Infosys Ltd for the years 2019-2024 from their published annual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</si>
</sst>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&quot;₹&quot;\ 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20"/>
      <color theme="1"/>
      <name val="Arial Black"/>
      <family val="2"/>
    </font>
    <font>
      <b/>
      <i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1" applyFont="1" applyBorder="1"/>
    <xf numFmtId="1" fontId="0" fillId="0" borderId="0" xfId="0" applyNumberFormat="1"/>
    <xf numFmtId="9" fontId="4" fillId="0" borderId="0" xfId="1" applyFont="1" applyBorder="1"/>
    <xf numFmtId="164" fontId="4" fillId="2" borderId="2" xfId="0" applyNumberFormat="1" applyFont="1" applyFill="1" applyBorder="1"/>
    <xf numFmtId="164" fontId="4" fillId="2" borderId="3" xfId="0" applyNumberFormat="1" applyFont="1" applyFill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4" fillId="0" borderId="5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164" fontId="4" fillId="0" borderId="6" xfId="0" applyNumberFormat="1" applyFont="1" applyBorder="1"/>
    <xf numFmtId="164" fontId="4" fillId="0" borderId="5" xfId="0" applyNumberFormat="1" applyFont="1" applyBorder="1"/>
    <xf numFmtId="164" fontId="5" fillId="0" borderId="0" xfId="0" applyNumberFormat="1" applyFont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164" fontId="4" fillId="0" borderId="0" xfId="0" applyNumberFormat="1" applyFont="1"/>
    <xf numFmtId="9" fontId="4" fillId="0" borderId="0" xfId="1" applyFont="1"/>
    <xf numFmtId="9" fontId="4" fillId="3" borderId="0" xfId="1" applyFont="1" applyFill="1"/>
    <xf numFmtId="9" fontId="4" fillId="2" borderId="0" xfId="1" applyFont="1" applyFill="1"/>
    <xf numFmtId="9" fontId="4" fillId="0" borderId="0" xfId="1" applyFont="1" applyAlignment="1">
      <alignment horizontal="center"/>
    </xf>
    <xf numFmtId="164" fontId="4" fillId="0" borderId="2" xfId="0" applyNumberFormat="1" applyFont="1" applyBorder="1"/>
    <xf numFmtId="164" fontId="4" fillId="0" borderId="3" xfId="0" applyNumberFormat="1" applyFont="1" applyBorder="1" applyAlignment="1">
      <alignment horizontal="center"/>
    </xf>
    <xf numFmtId="164" fontId="3" fillId="0" borderId="0" xfId="0" applyNumberFormat="1" applyFont="1"/>
    <xf numFmtId="0" fontId="7" fillId="0" borderId="0" xfId="0" applyFont="1"/>
    <xf numFmtId="0" fontId="7" fillId="3" borderId="0" xfId="0" applyFont="1" applyFill="1"/>
    <xf numFmtId="9" fontId="7" fillId="0" borderId="0" xfId="1" applyFont="1"/>
    <xf numFmtId="2" fontId="7" fillId="0" borderId="0" xfId="0" applyNumberFormat="1" applyFont="1"/>
    <xf numFmtId="0" fontId="8" fillId="0" borderId="0" xfId="0" applyFont="1"/>
    <xf numFmtId="0" fontId="10" fillId="4" borderId="0" xfId="0" applyFont="1" applyFill="1" applyAlignment="1">
      <alignment horizontal="center"/>
    </xf>
    <xf numFmtId="164" fontId="4" fillId="4" borderId="0" xfId="0" applyNumberFormat="1" applyFont="1" applyFill="1"/>
    <xf numFmtId="0" fontId="10" fillId="5" borderId="0" xfId="0" applyFont="1" applyFill="1" applyAlignment="1">
      <alignment horizontal="center"/>
    </xf>
    <xf numFmtId="165" fontId="4" fillId="5" borderId="0" xfId="0" applyNumberFormat="1" applyFont="1" applyFill="1"/>
    <xf numFmtId="0" fontId="10" fillId="6" borderId="0" xfId="0" applyFont="1" applyFill="1" applyAlignment="1">
      <alignment horizontal="center"/>
    </xf>
    <xf numFmtId="165" fontId="4" fillId="6" borderId="0" xfId="0" applyNumberFormat="1" applyFont="1" applyFill="1"/>
    <xf numFmtId="0" fontId="10" fillId="7" borderId="0" xfId="0" applyFont="1" applyFill="1" applyAlignment="1">
      <alignment horizontal="center"/>
    </xf>
    <xf numFmtId="164" fontId="4" fillId="7" borderId="0" xfId="0" applyNumberFormat="1" applyFont="1" applyFill="1"/>
    <xf numFmtId="0" fontId="10" fillId="8" borderId="0" xfId="0" applyFont="1" applyFill="1" applyAlignment="1">
      <alignment horizontal="center"/>
    </xf>
    <xf numFmtId="9" fontId="7" fillId="8" borderId="0" xfId="1" applyFont="1" applyFill="1" applyBorder="1"/>
    <xf numFmtId="0" fontId="10" fillId="9" borderId="0" xfId="0" applyFont="1" applyFill="1" applyAlignment="1">
      <alignment horizontal="center"/>
    </xf>
    <xf numFmtId="2" fontId="9" fillId="9" borderId="0" xfId="0" applyNumberFormat="1" applyFont="1" applyFill="1"/>
    <xf numFmtId="0" fontId="10" fillId="10" borderId="0" xfId="0" applyFont="1" applyFill="1" applyAlignment="1">
      <alignment horizontal="center"/>
    </xf>
    <xf numFmtId="2" fontId="4" fillId="10" borderId="0" xfId="0" applyNumberFormat="1" applyFont="1" applyFill="1"/>
    <xf numFmtId="0" fontId="10" fillId="11" borderId="0" xfId="0" applyFont="1" applyFill="1" applyAlignment="1">
      <alignment horizontal="center"/>
    </xf>
    <xf numFmtId="9" fontId="4" fillId="11" borderId="0" xfId="0" applyNumberFormat="1" applyFont="1" applyFill="1"/>
    <xf numFmtId="0" fontId="12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68"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2" formatCode="0.00"/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2" formatCode="0.00"/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2" formatCode="0.00"/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2" formatCode="0.00"/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2" formatCode="0.00"/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 diagonalUp="0" diagonalDown="0" outline="0">
        <left/>
        <right/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 diagonalUp="0" diagonalDown="0" outline="0">
        <left/>
        <right/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 diagonalUp="0" diagonalDown="0" outline="0">
        <left/>
        <right/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_ [$₹-4009]\ * #,##0_ ;_ [$₹-4009]\ * \-#,##0_ ;_ [$₹-4009]\ * &quot;-&quot;??_ ;_ @_ 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Revenue Trend (FY19–FY24)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Statement'!$H$7:$L$7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'Income Statement'!$H$9:$L$9</c:f>
              <c:numCache>
                <c:formatCode>_ [$₹-4009]\ * #,##0_ ;_ [$₹-4009]\ * \-#,##0_ ;_ [$₹-4009]\ * "-"??_ ;_ @_ </c:formatCode>
                <c:ptCount val="5"/>
                <c:pt idx="0">
                  <c:v>90791</c:v>
                </c:pt>
                <c:pt idx="1">
                  <c:v>100472</c:v>
                </c:pt>
                <c:pt idx="2">
                  <c:v>121641</c:v>
                </c:pt>
                <c:pt idx="3">
                  <c:v>146767</c:v>
                </c:pt>
                <c:pt idx="4">
                  <c:v>153670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1-4389-A930-A0E03DB224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1743615"/>
        <c:axId val="451044079"/>
      </c:lineChart>
      <c:catAx>
        <c:axId val="8317436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44079"/>
        <c:crosses val="autoZero"/>
        <c:auto val="1"/>
        <c:lblAlgn val="ctr"/>
        <c:lblOffset val="100"/>
        <c:noMultiLvlLbl val="0"/>
      </c:catAx>
      <c:valAx>
        <c:axId val="4510440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4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'Income Statement'!$H$7:$L$7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'Income Statement'!$H$9:$L$9</c:f>
              <c:numCache>
                <c:formatCode>_ [$₹-4009]\ * #,##0_ ;_ [$₹-4009]\ * \-#,##0_ ;_ [$₹-4009]\ * "-"??_ ;_ @_ </c:formatCode>
                <c:ptCount val="5"/>
                <c:pt idx="0">
                  <c:v>90791</c:v>
                </c:pt>
                <c:pt idx="1">
                  <c:v>100472</c:v>
                </c:pt>
                <c:pt idx="2">
                  <c:v>121641</c:v>
                </c:pt>
                <c:pt idx="3">
                  <c:v>146767</c:v>
                </c:pt>
                <c:pt idx="4">
                  <c:v>153670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2-467A-9BED-30C57131C93D}"/>
            </c:ext>
          </c:extLst>
        </c:ser>
        <c:ser>
          <c:idx val="1"/>
          <c:order val="1"/>
          <c:tx>
            <c:v>Expenses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'Income Statement'!$H$7:$L$7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'Income Statement'!$H$12:$L$12</c:f>
              <c:numCache>
                <c:formatCode>_ [$₹-4009]\ * #,##0_ ;_ [$₹-4009]\ * \-#,##0_ ;_ [$₹-4009]\ * "-"??_ ;_ @_ </c:formatCode>
                <c:ptCount val="5"/>
                <c:pt idx="0">
                  <c:v>71587</c:v>
                </c:pt>
                <c:pt idx="1">
                  <c:v>76045</c:v>
                </c:pt>
                <c:pt idx="2">
                  <c:v>93826</c:v>
                </c:pt>
                <c:pt idx="3">
                  <c:v>116146</c:v>
                </c:pt>
                <c:pt idx="4">
                  <c:v>122393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2-467A-9BED-30C57131C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85229360"/>
        <c:axId val="48624784"/>
      </c:barChart>
      <c:catAx>
        <c:axId val="285229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4784"/>
        <c:crosses val="autoZero"/>
        <c:auto val="1"/>
        <c:lblAlgn val="ctr"/>
        <c:lblOffset val="100"/>
        <c:noMultiLvlLbl val="0"/>
      </c:catAx>
      <c:valAx>
        <c:axId val="48624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Financial Position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Assets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'Balance Sheet'!$E$6:$I$6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'Balance Sheet'!$E$12:$I$12</c:f>
              <c:numCache>
                <c:formatCode>_ [$₹-4009]\ * #,##0_ ;_ [$₹-4009]\ * \-#,##0_ ;_ [$₹-4009]\ * "-"??_ ;_ @_ </c:formatCode>
                <c:ptCount val="5"/>
                <c:pt idx="0">
                  <c:v>92768</c:v>
                </c:pt>
                <c:pt idx="1">
                  <c:v>108386</c:v>
                </c:pt>
                <c:pt idx="2">
                  <c:v>117885</c:v>
                </c:pt>
                <c:pt idx="3">
                  <c:v>125816</c:v>
                </c:pt>
                <c:pt idx="4">
                  <c:v>137814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4-412C-9279-17F05CB60B91}"/>
            </c:ext>
          </c:extLst>
        </c:ser>
        <c:ser>
          <c:idx val="1"/>
          <c:order val="1"/>
          <c:tx>
            <c:v>Equity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'Balance Sheet'!$E$6:$I$6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'Balance Sheet'!$E$14:$I$14</c:f>
              <c:numCache>
                <c:formatCode>_ [$₹-4009]\ * #,##0_ ;_ [$₹-4009]\ * \-#,##0_ ;_ [$₹-4009]\ * "-"??_ ;_ @_ </c:formatCode>
                <c:ptCount val="5"/>
                <c:pt idx="0">
                  <c:v>65844</c:v>
                </c:pt>
                <c:pt idx="1">
                  <c:v>76782</c:v>
                </c:pt>
                <c:pt idx="2">
                  <c:v>75736</c:v>
                </c:pt>
                <c:pt idx="3">
                  <c:v>75795</c:v>
                </c:pt>
                <c:pt idx="4">
                  <c:v>88461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4-412C-9279-17F05CB60B91}"/>
            </c:ext>
          </c:extLst>
        </c:ser>
        <c:ser>
          <c:idx val="2"/>
          <c:order val="2"/>
          <c:tx>
            <c:v>Liabilities</c:v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'Balance Sheet'!$E$6:$I$6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'Balance Sheet'!$E$18:$I$18</c:f>
              <c:numCache>
                <c:formatCode>_ [$₹-4009]\ * #,##0_ ;_ [$₹-4009]\ * \-#,##0_ ;_ [$₹-4009]\ * "-"??_ ;_ @_ </c:formatCode>
                <c:ptCount val="5"/>
                <c:pt idx="0">
                  <c:v>26924</c:v>
                </c:pt>
                <c:pt idx="1">
                  <c:v>31604</c:v>
                </c:pt>
                <c:pt idx="2">
                  <c:v>42149</c:v>
                </c:pt>
                <c:pt idx="3">
                  <c:v>50021</c:v>
                </c:pt>
                <c:pt idx="4">
                  <c:v>49353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4-412C-9279-17F05CB60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28568575"/>
        <c:axId val="48588304"/>
      </c:barChart>
      <c:catAx>
        <c:axId val="828568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8304"/>
        <c:crosses val="autoZero"/>
        <c:auto val="1"/>
        <c:lblAlgn val="ctr"/>
        <c:lblOffset val="100"/>
        <c:noMultiLvlLbl val="0"/>
      </c:catAx>
      <c:valAx>
        <c:axId val="48588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6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Cash Flow Analysis</a:t>
            </a:r>
          </a:p>
        </c:rich>
      </c:tx>
      <c:layout>
        <c:manualLayout>
          <c:xMode val="edge"/>
          <c:yMode val="edge"/>
          <c:x val="0.36422258784816075"/>
          <c:y val="2.96861747243426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Operating 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'Cash Flow'!$E$6:$I$6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'Cash Flow'!$E$7:$I$7</c:f>
              <c:numCache>
                <c:formatCode>_ [$₹-4009]\ * #,##0_ ;_ [$₹-4009]\ * \-#,##0_ ;_ [$₹-4009]\ * "-"??_ ;_ @_ </c:formatCode>
                <c:ptCount val="5"/>
                <c:pt idx="0">
                  <c:v>17003</c:v>
                </c:pt>
                <c:pt idx="1">
                  <c:v>23224</c:v>
                </c:pt>
                <c:pt idx="2">
                  <c:v>23885</c:v>
                </c:pt>
                <c:pt idx="3">
                  <c:v>22467</c:v>
                </c:pt>
                <c:pt idx="4">
                  <c:v>25210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1-4C91-B224-DEE647C06873}"/>
            </c:ext>
          </c:extLst>
        </c:ser>
        <c:ser>
          <c:idx val="1"/>
          <c:order val="1"/>
          <c:tx>
            <c:v>Investing 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'Cash Flow'!$E$6:$I$6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'Cash Flow'!$E$8:$I$8</c:f>
              <c:numCache>
                <c:formatCode>_ [$₹-4009]\ * #,##0_ ;_ [$₹-4009]\ * \-#,##0_ ;_ [$₹-4009]\ * "-"??_ ;_ @_ </c:formatCode>
                <c:ptCount val="5"/>
                <c:pt idx="0">
                  <c:v>-239</c:v>
                </c:pt>
                <c:pt idx="1">
                  <c:v>-7456</c:v>
                </c:pt>
                <c:pt idx="2">
                  <c:v>-6416</c:v>
                </c:pt>
                <c:pt idx="3">
                  <c:v>-1209</c:v>
                </c:pt>
                <c:pt idx="4">
                  <c:v>-5009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1-4C91-B224-DEE647C06873}"/>
            </c:ext>
          </c:extLst>
        </c:ser>
        <c:ser>
          <c:idx val="2"/>
          <c:order val="2"/>
          <c:tx>
            <c:v>Financing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'Cash Flow'!$E$6:$I$6</c:f>
              <c:strCache>
                <c:ptCount val="5"/>
                <c:pt idx="0">
                  <c:v> 2019-20 </c:v>
                </c:pt>
                <c:pt idx="1">
                  <c:v> 2020-21 </c:v>
                </c:pt>
                <c:pt idx="2">
                  <c:v> 2021-22 </c:v>
                </c:pt>
                <c:pt idx="3">
                  <c:v> 2022-23 </c:v>
                </c:pt>
                <c:pt idx="4">
                  <c:v> 2023-24 </c:v>
                </c:pt>
              </c:strCache>
            </c:strRef>
          </c:cat>
          <c:val>
            <c:numRef>
              <c:f>'Cash Flow'!$E$9:$I$9</c:f>
              <c:numCache>
                <c:formatCode>_ [$₹-4009]\ * #,##0_ ;_ [$₹-4009]\ * \-#,##0_ ;_ [$₹-4009]\ * "-"??_ ;_ @_ </c:formatCode>
                <c:ptCount val="5"/>
                <c:pt idx="0">
                  <c:v>-17591</c:v>
                </c:pt>
                <c:pt idx="1">
                  <c:v>-9786</c:v>
                </c:pt>
                <c:pt idx="2">
                  <c:v>-24642</c:v>
                </c:pt>
                <c:pt idx="3">
                  <c:v>-26695</c:v>
                </c:pt>
                <c:pt idx="4">
                  <c:v>-17504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1-4C91-B224-DEE647C06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6376032"/>
        <c:axId val="48628624"/>
      </c:barChart>
      <c:catAx>
        <c:axId val="3563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8624"/>
        <c:crosses val="autoZero"/>
        <c:auto val="1"/>
        <c:lblAlgn val="ctr"/>
        <c:lblOffset val="100"/>
        <c:noMultiLvlLbl val="0"/>
      </c:catAx>
      <c:valAx>
        <c:axId val="4862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Profitability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Ratios!$D$9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Ratios!$E$6:$I$6</c:f>
              <c:strCache>
                <c:ptCount val="5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</c:strCache>
            </c:strRef>
          </c:cat>
          <c:val>
            <c:numRef>
              <c:f>Ratios!$E$9:$I$9</c:f>
              <c:numCache>
                <c:formatCode>0%</c:formatCode>
                <c:ptCount val="5"/>
                <c:pt idx="0">
                  <c:v>0.18326706391602693</c:v>
                </c:pt>
                <c:pt idx="1">
                  <c:v>0.19331754120550998</c:v>
                </c:pt>
                <c:pt idx="2">
                  <c:v>0.1820603250548746</c:v>
                </c:pt>
                <c:pt idx="3">
                  <c:v>0.16426035825492105</c:v>
                </c:pt>
                <c:pt idx="4">
                  <c:v>0.17080757467300059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5-4E26-B168-C766EB7EFB19}"/>
            </c:ext>
          </c:extLst>
        </c:ser>
        <c:ser>
          <c:idx val="1"/>
          <c:order val="1"/>
          <c:tx>
            <c:strRef>
              <c:f>Ratios!$D$10</c:f>
              <c:strCache>
                <c:ptCount val="1"/>
                <c:pt idx="0">
                  <c:v>ROA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Ratios!$E$6:$I$6</c:f>
              <c:strCache>
                <c:ptCount val="5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</c:strCache>
            </c:strRef>
          </c:cat>
          <c:val>
            <c:numRef>
              <c:f>Ratios!$E$10:$I$10</c:f>
              <c:numCache>
                <c:formatCode>0%</c:formatCode>
                <c:ptCount val="5"/>
                <c:pt idx="0">
                  <c:v>0.1793614177302518</c:v>
                </c:pt>
                <c:pt idx="1">
                  <c:v>0.179202110973742</c:v>
                </c:pt>
                <c:pt idx="2">
                  <c:v>0.18786105102430334</c:v>
                </c:pt>
                <c:pt idx="3">
                  <c:v>0.19161314936097157</c:v>
                </c:pt>
                <c:pt idx="4">
                  <c:v>0.19045960497482115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5-4E26-B168-C766EB7EFB19}"/>
            </c:ext>
          </c:extLst>
        </c:ser>
        <c:ser>
          <c:idx val="2"/>
          <c:order val="2"/>
          <c:tx>
            <c:strRef>
              <c:f>Ratios!$D$11</c:f>
              <c:strCache>
                <c:ptCount val="1"/>
                <c:pt idx="0">
                  <c:v>ROE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Ratios!$E$6:$I$6</c:f>
              <c:strCache>
                <c:ptCount val="5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</c:v>
                </c:pt>
              </c:strCache>
            </c:strRef>
          </c:cat>
          <c:val>
            <c:numRef>
              <c:f>Ratios!$E$11:$I$11</c:f>
              <c:numCache>
                <c:formatCode>0%</c:formatCode>
                <c:ptCount val="5"/>
                <c:pt idx="0">
                  <c:v>0.25270335945568312</c:v>
                </c:pt>
                <c:pt idx="1">
                  <c:v>0.25296293402099451</c:v>
                </c:pt>
                <c:pt idx="2">
                  <c:v>0.29241047850427804</c:v>
                </c:pt>
                <c:pt idx="3">
                  <c:v>0.31806847417375816</c:v>
                </c:pt>
                <c:pt idx="4">
                  <c:v>0.29671832785069124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C5-4E26-B168-C766EB7EF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441440"/>
        <c:axId val="301887376"/>
      </c:lineChart>
      <c:catAx>
        <c:axId val="34244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87376"/>
        <c:crosses val="autoZero"/>
        <c:auto val="1"/>
        <c:lblAlgn val="ctr"/>
        <c:lblOffset val="100"/>
        <c:noMultiLvlLbl val="0"/>
      </c:catAx>
      <c:valAx>
        <c:axId val="3018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4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Ratios!$D$7:$E$7</c:f>
              <c:strCache>
                <c:ptCount val="2"/>
                <c:pt idx="0">
                  <c:v>Revenue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Ratios!$F$6:$I$6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Ratios!$F$7:$I$7</c:f>
              <c:numCache>
                <c:formatCode>0%</c:formatCode>
                <c:ptCount val="4"/>
                <c:pt idx="0">
                  <c:v>0.10662951173574474</c:v>
                </c:pt>
                <c:pt idx="1">
                  <c:v>0.21069551715900947</c:v>
                </c:pt>
                <c:pt idx="2">
                  <c:v>0.20655864387829762</c:v>
                </c:pt>
                <c:pt idx="3">
                  <c:v>4.7033733741236108E-2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F-4FA3-88A0-A992EE46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449328"/>
        <c:axId val="301884496"/>
      </c:lineChart>
      <c:catAx>
        <c:axId val="3424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84496"/>
        <c:crosses val="autoZero"/>
        <c:auto val="1"/>
        <c:lblAlgn val="ctr"/>
        <c:lblOffset val="100"/>
        <c:noMultiLvlLbl val="0"/>
      </c:catAx>
      <c:valAx>
        <c:axId val="3018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4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8</xdr:row>
      <xdr:rowOff>83820</xdr:rowOff>
    </xdr:from>
    <xdr:to>
      <xdr:col>14</xdr:col>
      <xdr:colOff>845820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BA546-A776-4EE3-9167-C99915847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1005840</xdr:colOff>
      <xdr:row>8</xdr:row>
      <xdr:rowOff>76200</xdr:rowOff>
    </xdr:from>
    <xdr:to>
      <xdr:col>18</xdr:col>
      <xdr:colOff>624840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D2205-AFDA-4CDA-B063-7CCC08178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807720</xdr:colOff>
      <xdr:row>8</xdr:row>
      <xdr:rowOff>83820</xdr:rowOff>
    </xdr:from>
    <xdr:to>
      <xdr:col>24</xdr:col>
      <xdr:colOff>205740</xdr:colOff>
      <xdr:row>24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739C6A-B8AE-4D53-949B-4AA182675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99060</xdr:colOff>
      <xdr:row>26</xdr:row>
      <xdr:rowOff>106680</xdr:rowOff>
    </xdr:from>
    <xdr:to>
      <xdr:col>14</xdr:col>
      <xdr:colOff>853440</xdr:colOff>
      <xdr:row>42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3EED85-B3BD-493C-84E1-E410C86A4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1036320</xdr:colOff>
      <xdr:row>26</xdr:row>
      <xdr:rowOff>121920</xdr:rowOff>
    </xdr:from>
    <xdr:to>
      <xdr:col>18</xdr:col>
      <xdr:colOff>647700</xdr:colOff>
      <xdr:row>43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D30460-E4B2-46FC-9D60-42847F10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944880</xdr:colOff>
      <xdr:row>26</xdr:row>
      <xdr:rowOff>106680</xdr:rowOff>
    </xdr:from>
    <xdr:to>
      <xdr:col>24</xdr:col>
      <xdr:colOff>342900</xdr:colOff>
      <xdr:row>43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EF85D6-E4D2-4BBF-8295-E075A1E14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CD702F-759F-45FC-8138-985D1B65EA7F}" name="Table5" displayName="Table5" ref="D6:L15" headerRowCount="0" totalsRowShown="0" headerRowDxfId="67" dataDxfId="66" tableBorderDxfId="65" totalsRowBorderDxfId="64">
  <tableColumns count="9">
    <tableColumn id="1" xr3:uid="{821A89AA-0C9A-4B2A-BABC-8D6DFA1B2130}" name="Column1" headerRowDxfId="63" dataDxfId="62"/>
    <tableColumn id="2" xr3:uid="{FEDC0962-8CCA-45DA-8D7A-3848791C14C8}" name="Column2" headerRowDxfId="61" dataDxfId="60"/>
    <tableColumn id="3" xr3:uid="{3889427A-AD96-421D-BA01-17E6D5CCAE7C}" name="Column3" headerRowDxfId="59" dataDxfId="58"/>
    <tableColumn id="4" xr3:uid="{9BF1114B-9175-46EB-873D-032BB24FC937}" name="Column4" headerRowDxfId="57" dataDxfId="56"/>
    <tableColumn id="5" xr3:uid="{01BC79AC-DCA6-49F7-A42C-CA6324391715}" name="Column5" headerRowDxfId="55" dataDxfId="54"/>
    <tableColumn id="6" xr3:uid="{516737C9-7CB6-4A47-8D92-931F32FC6962}" name="Column6" headerRowDxfId="53" dataDxfId="52"/>
    <tableColumn id="7" xr3:uid="{90C33EC1-D1BD-4B40-B3B4-D9613AD8B113}" name="Column7" headerRowDxfId="51" dataDxfId="50"/>
    <tableColumn id="8" xr3:uid="{33742143-E038-426B-845E-E0A34EFAB89B}" name="Column8" headerRowDxfId="49" dataDxfId="48"/>
    <tableColumn id="9" xr3:uid="{30C59026-EC35-431D-AFF6-42B35491FCF4}" name="Column9" headerRowDxfId="47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4047F3-48CF-416C-8D9E-D8FC9F2A4BFF}" name="Table11" displayName="Table11" ref="D18:L22" headerRowCount="0" totalsRowShown="0" headerRowDxfId="45" dataDxfId="44" headerRowCellStyle="Per cent" dataCellStyle="Per cent">
  <tableColumns count="9">
    <tableColumn id="1" xr3:uid="{251F1562-191E-48D2-B89E-5042046ED708}" name="Column1" dataDxfId="43" dataCellStyle="Per cent"/>
    <tableColumn id="2" xr3:uid="{3B0E22CD-7B5E-4193-929E-4B26A9559D77}" name="Column2" headerRowDxfId="42" dataDxfId="41" dataCellStyle="Per cent"/>
    <tableColumn id="3" xr3:uid="{94B1B10F-85DE-4370-803D-5AC6BF9E742E}" name="Column3" headerRowDxfId="40" dataDxfId="39" dataCellStyle="Per cent"/>
    <tableColumn id="4" xr3:uid="{22C092FE-4298-4121-B7BA-1FB806AE113F}" name="Column4" headerRowDxfId="38" dataDxfId="37" dataCellStyle="Per cent"/>
    <tableColumn id="5" xr3:uid="{3B6D5306-1269-4A7F-8FDC-852184DBF5C8}" name="Column5" headerRowDxfId="36" dataDxfId="35" dataCellStyle="Per cent"/>
    <tableColumn id="6" xr3:uid="{8A0CD16E-7AEC-4374-B7A0-F1BE8DE1C269}" name="Column6" headerRowDxfId="34" dataDxfId="33" headerRowCellStyle="Per cent" dataCellStyle="Per cent"/>
    <tableColumn id="7" xr3:uid="{735491A7-50EF-4996-B511-D24424225628}" name="Column7" headerRowDxfId="32" dataDxfId="31" headerRowCellStyle="Per cent" dataCellStyle="Per cent"/>
    <tableColumn id="8" xr3:uid="{4E8214D9-A4CA-4FFD-AE85-973CFEEBAD9B}" name="Column8" headerRowDxfId="30" dataDxfId="29" headerRowCellStyle="Per cent" dataCellStyle="Per cent"/>
    <tableColumn id="9" xr3:uid="{23E64F0F-AE01-4D1B-A603-677AE79AA5CF}" name="Column9" headerRowDxfId="28" dataDxfId="27" headerRowCellStyle="Per cent" dataCellStyle="Per 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591D2-456D-46B9-BC0B-AC0F4CC0C054}" name="Table1" displayName="Table1" ref="D6:I19" totalsRowShown="0" headerRowDxfId="26" dataDxfId="24" headerRowBorderDxfId="25" tableBorderDxfId="23" totalsRowBorderDxfId="22">
  <autoFilter ref="D6:I19" xr:uid="{7C9591D2-456D-46B9-BC0B-AC0F4CC0C054}"/>
  <tableColumns count="6">
    <tableColumn id="1" xr3:uid="{7F71AFB2-5260-4855-B84C-9587DF806E71}" name="Particulars " dataDxfId="21"/>
    <tableColumn id="2" xr3:uid="{E47637A5-926B-4D30-ADCE-00380D97D347}" name="2019-20" dataDxfId="20"/>
    <tableColumn id="3" xr3:uid="{B692749C-C3B6-4484-AD44-7F9C7BC4421C}" name="2020-21" dataDxfId="19"/>
    <tableColumn id="4" xr3:uid="{4FE0DDC0-3815-44BA-A958-371D3A616BCE}" name="2021-22" dataDxfId="18"/>
    <tableColumn id="5" xr3:uid="{63786F2A-2C24-4E2E-8105-EAC11A08BD61}" name="2022-23" dataDxfId="17"/>
    <tableColumn id="6" xr3:uid="{955FA7B2-2F61-481F-813B-AFA703DBF031}" name="2023-24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118E6-D722-4FF8-8F31-FB509F5B0244}" name="Table2" displayName="Table2" ref="D6:I12" totalsRowShown="0" headerRowDxfId="15" dataDxfId="14">
  <autoFilter ref="D6:I12" xr:uid="{C28118E6-D722-4FF8-8F31-FB509F5B02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241C0E-82CE-463E-A208-EED9FED3593C}" name="Particulars" dataDxfId="13"/>
    <tableColumn id="2" xr3:uid="{194D451D-FB07-47A5-A042-2CFDD70F9D42}" name="2019-20" dataDxfId="12"/>
    <tableColumn id="3" xr3:uid="{8E06D5A5-7868-4900-808D-6DA2CF0149CC}" name="2020-21" dataDxfId="11"/>
    <tableColumn id="4" xr3:uid="{956B78D1-9536-46EC-AC40-361C4C07E73B}" name="2021-22" dataDxfId="10"/>
    <tableColumn id="5" xr3:uid="{9FDC4E46-3DDB-4A0D-AFC9-26FD9189AA95}" name="2022-23" dataDxfId="9"/>
    <tableColumn id="6" xr3:uid="{C981D10D-956F-4163-B09E-83087D5FB666}" name="2023-24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942109-8DD2-4667-AC32-3110916A38B5}" name="Table4" displayName="Table4" ref="D6:I16" totalsRowShown="0" headerRowDxfId="7" dataDxfId="6">
  <autoFilter ref="D6:I16" xr:uid="{CD942109-8DD2-4667-AC32-3110916A38B5}"/>
  <tableColumns count="6">
    <tableColumn id="1" xr3:uid="{1FFD0D20-6EDB-439C-820D-3D21154920CC}" name="Particulars" dataDxfId="5"/>
    <tableColumn id="2" xr3:uid="{3F24A185-0ABB-4C54-BF42-AAEB12BF0F0C}" name="2019-20" dataDxfId="4"/>
    <tableColumn id="3" xr3:uid="{6BA9EFD9-412A-43A0-93AF-8168605D6F75}" name="2020-21" dataDxfId="3"/>
    <tableColumn id="4" xr3:uid="{6086C9B1-B723-4447-9209-3F65590324C2}" name="2021-22" dataDxfId="2"/>
    <tableColumn id="5" xr3:uid="{2E0E7CD1-30BA-43E3-AAF1-23BFDB37063F}" name="2022-23" dataDxfId="1"/>
    <tableColumn id="6" xr3:uid="{739DDD38-E28E-4EE3-B2F2-387AB2AD3A9C}" name="2023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B6EB-D37C-4C77-A504-B037A17DDF63}">
  <dimension ref="H8:V44"/>
  <sheetViews>
    <sheetView zoomScale="65" zoomScaleNormal="65" workbookViewId="0">
      <selection activeCell="M29" sqref="M29"/>
    </sheetView>
  </sheetViews>
  <sheetFormatPr defaultRowHeight="14.4" x14ac:dyDescent="0.3"/>
  <cols>
    <col min="4" max="4" width="16" customWidth="1"/>
    <col min="5" max="12" width="10.44140625" customWidth="1"/>
    <col min="13" max="13" width="165.5546875" bestFit="1" customWidth="1"/>
    <col min="15" max="15" width="10.88671875" bestFit="1" customWidth="1"/>
    <col min="18" max="18" width="46.44140625" bestFit="1" customWidth="1"/>
    <col min="22" max="22" width="8.6640625" bestFit="1" customWidth="1"/>
  </cols>
  <sheetData>
    <row r="8" spans="15:15" x14ac:dyDescent="0.3">
      <c r="O8" s="5"/>
    </row>
    <row r="10" spans="15:15" x14ac:dyDescent="0.3">
      <c r="O10" s="4"/>
    </row>
    <row r="18" spans="8:19" x14ac:dyDescent="0.3">
      <c r="M18" s="52" t="s">
        <v>57</v>
      </c>
    </row>
    <row r="19" spans="8:19" x14ac:dyDescent="0.3">
      <c r="M19" s="52"/>
    </row>
    <row r="20" spans="8:19" x14ac:dyDescent="0.3">
      <c r="M20" s="52"/>
      <c r="N20" s="1"/>
      <c r="O20" s="1"/>
    </row>
    <row r="21" spans="8:19" x14ac:dyDescent="0.3">
      <c r="M21" s="52"/>
      <c r="N21" s="2"/>
      <c r="O21" s="2"/>
      <c r="R21" s="3"/>
      <c r="S21" s="3"/>
    </row>
    <row r="22" spans="8:19" ht="25.8" x14ac:dyDescent="0.5">
      <c r="M22" s="49" t="s">
        <v>56</v>
      </c>
      <c r="O22" s="3"/>
      <c r="R22" s="3"/>
    </row>
    <row r="23" spans="8:19" x14ac:dyDescent="0.3">
      <c r="H23" s="3"/>
      <c r="O23" s="3"/>
      <c r="R23" s="3"/>
    </row>
    <row r="24" spans="8:19" x14ac:dyDescent="0.3">
      <c r="H24" s="3"/>
      <c r="O24" s="3"/>
    </row>
    <row r="25" spans="8:19" x14ac:dyDescent="0.3">
      <c r="H25" s="3"/>
      <c r="O25" s="3"/>
      <c r="R25" s="3"/>
      <c r="S25" s="3"/>
    </row>
    <row r="26" spans="8:19" x14ac:dyDescent="0.3">
      <c r="H26" s="3"/>
      <c r="O26" s="3"/>
    </row>
    <row r="27" spans="8:19" x14ac:dyDescent="0.3">
      <c r="H27" s="3"/>
      <c r="O27" s="3"/>
      <c r="R27" s="3"/>
    </row>
    <row r="28" spans="8:19" x14ac:dyDescent="0.3">
      <c r="H28" s="3"/>
      <c r="O28" s="3"/>
      <c r="R28" s="3"/>
    </row>
    <row r="29" spans="8:19" x14ac:dyDescent="0.3">
      <c r="H29" s="3"/>
      <c r="O29" s="3"/>
      <c r="R29" s="3"/>
    </row>
    <row r="35" spans="11:22" x14ac:dyDescent="0.3">
      <c r="K35" s="1"/>
      <c r="L35" s="1"/>
      <c r="N35" s="1"/>
      <c r="O35" s="1"/>
      <c r="R35" s="1"/>
      <c r="S35" s="1"/>
      <c r="U35" s="1"/>
      <c r="V35" s="1"/>
    </row>
    <row r="36" spans="11:22" x14ac:dyDescent="0.3">
      <c r="K36" s="2"/>
      <c r="L36" s="2"/>
      <c r="M36" s="2"/>
      <c r="N36" s="2"/>
      <c r="O36" s="2"/>
      <c r="R36" s="2"/>
      <c r="S36" s="2"/>
      <c r="T36" s="2"/>
      <c r="U36" s="2"/>
      <c r="V36" s="2"/>
    </row>
    <row r="37" spans="11:22" x14ac:dyDescent="0.3">
      <c r="O37" s="3"/>
      <c r="V37" s="3"/>
    </row>
    <row r="38" spans="11:22" x14ac:dyDescent="0.3">
      <c r="O38" s="3"/>
      <c r="V38" s="3"/>
    </row>
    <row r="39" spans="11:22" x14ac:dyDescent="0.3">
      <c r="O39" s="3"/>
      <c r="V39" s="3"/>
    </row>
    <row r="40" spans="11:22" x14ac:dyDescent="0.3">
      <c r="O40" s="3"/>
      <c r="V40" s="3"/>
    </row>
    <row r="41" spans="11:22" x14ac:dyDescent="0.3">
      <c r="O41" s="3"/>
      <c r="V41" s="3"/>
    </row>
    <row r="42" spans="11:22" x14ac:dyDescent="0.3">
      <c r="O42" s="3"/>
      <c r="V42" s="3"/>
    </row>
    <row r="43" spans="11:22" x14ac:dyDescent="0.3">
      <c r="O43" s="3"/>
      <c r="V43" s="3"/>
    </row>
    <row r="44" spans="11:22" x14ac:dyDescent="0.3">
      <c r="O44" s="3"/>
      <c r="V44" s="3"/>
    </row>
  </sheetData>
  <mergeCells count="1">
    <mergeCell ref="M18:M2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776B-8506-4242-9EFC-711A4AC74337}">
  <dimension ref="D6:O22"/>
  <sheetViews>
    <sheetView topLeftCell="A4" zoomScale="80" zoomScaleNormal="80" workbookViewId="0">
      <selection activeCell="H12" activeCellId="1" sqref="H9:L9 H12:L12"/>
    </sheetView>
  </sheetViews>
  <sheetFormatPr defaultRowHeight="14.4" x14ac:dyDescent="0.3"/>
  <cols>
    <col min="4" max="4" width="66.21875" bestFit="1" customWidth="1"/>
    <col min="8" max="8" width="23.44140625" bestFit="1" customWidth="1"/>
    <col min="9" max="12" width="26" bestFit="1" customWidth="1"/>
  </cols>
  <sheetData>
    <row r="6" spans="4:15" ht="23.4" x14ac:dyDescent="0.45">
      <c r="D6" s="7" t="s">
        <v>1</v>
      </c>
      <c r="E6" s="8"/>
      <c r="F6" s="9"/>
      <c r="G6" s="8"/>
      <c r="H6" s="8"/>
      <c r="I6" s="9"/>
      <c r="J6" s="9"/>
      <c r="K6" s="9"/>
      <c r="L6" s="10"/>
    </row>
    <row r="7" spans="4:15" ht="23.4" x14ac:dyDescent="0.45">
      <c r="D7" s="11"/>
      <c r="E7" s="12"/>
      <c r="F7" s="12"/>
      <c r="G7" s="12"/>
      <c r="H7" s="12" t="s">
        <v>0</v>
      </c>
      <c r="I7" s="13" t="s">
        <v>11</v>
      </c>
      <c r="J7" s="13" t="s">
        <v>12</v>
      </c>
      <c r="K7" s="13" t="s">
        <v>13</v>
      </c>
      <c r="L7" s="14" t="s">
        <v>14</v>
      </c>
    </row>
    <row r="8" spans="4:15" ht="23.4" x14ac:dyDescent="0.45">
      <c r="D8" s="15" t="s">
        <v>2</v>
      </c>
      <c r="E8" s="13"/>
      <c r="F8" s="13"/>
      <c r="G8" s="13"/>
      <c r="H8" s="13" t="s">
        <v>3</v>
      </c>
      <c r="I8" s="13" t="s">
        <v>3</v>
      </c>
      <c r="J8" s="13" t="s">
        <v>3</v>
      </c>
      <c r="K8" s="13" t="s">
        <v>3</v>
      </c>
      <c r="L8" s="14" t="s">
        <v>3</v>
      </c>
    </row>
    <row r="9" spans="4:15" ht="23.4" x14ac:dyDescent="0.45">
      <c r="D9" s="15" t="s">
        <v>6</v>
      </c>
      <c r="E9" s="13"/>
      <c r="F9" s="13"/>
      <c r="G9" s="13"/>
      <c r="H9" s="16">
        <v>90791</v>
      </c>
      <c r="I9" s="16">
        <v>100472</v>
      </c>
      <c r="J9" s="16">
        <v>121641</v>
      </c>
      <c r="K9" s="16">
        <v>146767</v>
      </c>
      <c r="L9" s="16">
        <v>153670</v>
      </c>
    </row>
    <row r="10" spans="4:15" ht="23.4" x14ac:dyDescent="0.45">
      <c r="D10" s="15" t="s">
        <v>7</v>
      </c>
      <c r="E10" s="13"/>
      <c r="F10" s="13"/>
      <c r="G10" s="13"/>
      <c r="H10" s="16">
        <v>2803</v>
      </c>
      <c r="I10" s="16">
        <v>2201</v>
      </c>
      <c r="J10" s="16">
        <v>2295</v>
      </c>
      <c r="K10" s="16">
        <v>2701</v>
      </c>
      <c r="L10" s="16">
        <v>4711</v>
      </c>
      <c r="O10" s="3"/>
    </row>
    <row r="11" spans="4:15" ht="23.4" x14ac:dyDescent="0.45">
      <c r="D11" s="15" t="s">
        <v>8</v>
      </c>
      <c r="E11" s="13"/>
      <c r="F11" s="13"/>
      <c r="G11" s="13"/>
      <c r="H11" s="13">
        <f>H9+H10</f>
        <v>93594</v>
      </c>
      <c r="I11" s="13">
        <f>I9+I10</f>
        <v>102673</v>
      </c>
      <c r="J11" s="13">
        <f>J9+J10</f>
        <v>123936</v>
      </c>
      <c r="K11" s="13">
        <f>K9+K10</f>
        <v>149468</v>
      </c>
      <c r="L11" s="14">
        <f>L9+L10</f>
        <v>158381</v>
      </c>
    </row>
    <row r="12" spans="4:15" ht="23.4" x14ac:dyDescent="0.45">
      <c r="D12" s="15" t="s">
        <v>9</v>
      </c>
      <c r="E12" s="13"/>
      <c r="F12" s="13"/>
      <c r="G12" s="13"/>
      <c r="H12" s="16">
        <v>71587</v>
      </c>
      <c r="I12" s="16">
        <v>76045</v>
      </c>
      <c r="J12" s="16">
        <v>93826</v>
      </c>
      <c r="K12" s="16">
        <v>116146</v>
      </c>
      <c r="L12" s="16">
        <v>122393</v>
      </c>
      <c r="O12" s="3"/>
    </row>
    <row r="13" spans="4:15" ht="23.4" x14ac:dyDescent="0.45">
      <c r="D13" s="15" t="s">
        <v>4</v>
      </c>
      <c r="E13" s="13"/>
      <c r="F13" s="13"/>
      <c r="G13" s="13"/>
      <c r="H13" s="13">
        <f>H11-H12</f>
        <v>22007</v>
      </c>
      <c r="I13" s="13">
        <f>I11-I12</f>
        <v>26628</v>
      </c>
      <c r="J13" s="13">
        <f>J11-J12</f>
        <v>30110</v>
      </c>
      <c r="K13" s="13">
        <f>K11-K12</f>
        <v>33322</v>
      </c>
      <c r="L13" s="14">
        <f>L11-L12</f>
        <v>35988</v>
      </c>
    </row>
    <row r="14" spans="4:15" ht="23.4" x14ac:dyDescent="0.45">
      <c r="D14" s="15" t="s">
        <v>5</v>
      </c>
      <c r="E14" s="13"/>
      <c r="F14" s="13"/>
      <c r="G14" s="13"/>
      <c r="H14" s="13">
        <v>5368</v>
      </c>
      <c r="I14" s="13">
        <v>7205</v>
      </c>
      <c r="J14" s="13">
        <v>7964</v>
      </c>
      <c r="K14" s="13">
        <v>9214</v>
      </c>
      <c r="L14" s="14">
        <v>9740</v>
      </c>
    </row>
    <row r="15" spans="4:15" ht="23.4" x14ac:dyDescent="0.45">
      <c r="D15" s="17" t="s">
        <v>10</v>
      </c>
      <c r="E15" s="18"/>
      <c r="F15" s="18"/>
      <c r="G15" s="18"/>
      <c r="H15" s="18">
        <f>H13-H14</f>
        <v>16639</v>
      </c>
      <c r="I15" s="18">
        <f>I13-I14</f>
        <v>19423</v>
      </c>
      <c r="J15" s="18">
        <f>J13-J14</f>
        <v>22146</v>
      </c>
      <c r="K15" s="18">
        <f>K13-K14</f>
        <v>24108</v>
      </c>
      <c r="L15" s="19">
        <f>L13-L14</f>
        <v>26248</v>
      </c>
    </row>
    <row r="16" spans="4:15" ht="23.4" x14ac:dyDescent="0.45">
      <c r="D16" s="20"/>
      <c r="E16" s="20"/>
      <c r="F16" s="20"/>
      <c r="G16" s="20"/>
      <c r="H16" s="20"/>
      <c r="I16" s="20"/>
      <c r="J16" s="20"/>
      <c r="K16" s="20"/>
      <c r="L16" s="20"/>
    </row>
    <row r="17" spans="4:12" ht="23.4" x14ac:dyDescent="0.45">
      <c r="D17" s="20"/>
      <c r="E17" s="20"/>
      <c r="F17" s="20"/>
      <c r="G17" s="20"/>
      <c r="H17" s="20"/>
      <c r="I17" s="20"/>
      <c r="J17" s="20"/>
      <c r="K17" s="20"/>
      <c r="L17" s="20"/>
    </row>
    <row r="18" spans="4:12" ht="23.4" x14ac:dyDescent="0.45">
      <c r="D18" s="21" t="s">
        <v>15</v>
      </c>
      <c r="E18" s="21"/>
      <c r="F18" s="21"/>
      <c r="G18" s="21"/>
      <c r="H18" s="22"/>
      <c r="I18" s="6">
        <f>(I9-H9)/H9</f>
        <v>0.10662951173574474</v>
      </c>
      <c r="J18" s="6">
        <f t="shared" ref="J18:L18" si="0">(J9-I9)/I9</f>
        <v>0.21069551715900947</v>
      </c>
      <c r="K18" s="6">
        <f t="shared" si="0"/>
        <v>0.20655864387829762</v>
      </c>
      <c r="L18" s="6">
        <f t="shared" si="0"/>
        <v>4.7033733741236108E-2</v>
      </c>
    </row>
    <row r="19" spans="4:12" ht="23.4" x14ac:dyDescent="0.45">
      <c r="D19" s="21" t="s">
        <v>16</v>
      </c>
      <c r="E19" s="21"/>
      <c r="F19" s="21"/>
      <c r="G19" s="21"/>
      <c r="H19" s="22"/>
      <c r="I19" s="6">
        <f>(I12-H12)/H12</f>
        <v>6.2273876541830218E-2</v>
      </c>
      <c r="J19" s="6">
        <f t="shared" ref="J19:L19" si="1">(J12-I12)/I12</f>
        <v>0.23382207903215202</v>
      </c>
      <c r="K19" s="6">
        <f t="shared" si="1"/>
        <v>0.23788715281478481</v>
      </c>
      <c r="L19" s="6">
        <f t="shared" si="1"/>
        <v>5.3785752415063802E-2</v>
      </c>
    </row>
    <row r="20" spans="4:12" ht="23.4" x14ac:dyDescent="0.45">
      <c r="D20" s="21" t="s">
        <v>17</v>
      </c>
      <c r="E20" s="21"/>
      <c r="F20" s="21"/>
      <c r="G20" s="21"/>
      <c r="H20" s="22"/>
      <c r="I20" s="6">
        <f>(I15-H15)/H15</f>
        <v>0.1673177474607849</v>
      </c>
      <c r="J20" s="6">
        <f t="shared" ref="J20:L20" si="2">(J15-I15)/I15</f>
        <v>0.14019461463213714</v>
      </c>
      <c r="K20" s="6">
        <f t="shared" si="2"/>
        <v>8.8593876998103491E-2</v>
      </c>
      <c r="L20" s="6">
        <f t="shared" si="2"/>
        <v>8.8767214202754269E-2</v>
      </c>
    </row>
    <row r="21" spans="4:12" ht="23.4" x14ac:dyDescent="0.45">
      <c r="D21" s="21" t="s">
        <v>18</v>
      </c>
      <c r="E21" s="23"/>
      <c r="F21" s="21"/>
      <c r="G21" s="23"/>
      <c r="H21" s="6">
        <f>H15/H9</f>
        <v>0.18326706391602693</v>
      </c>
      <c r="I21" s="6">
        <f t="shared" ref="I21:L21" si="3">I15/I9</f>
        <v>0.19331754120550998</v>
      </c>
      <c r="J21" s="6">
        <f t="shared" si="3"/>
        <v>0.1820603250548746</v>
      </c>
      <c r="K21" s="6">
        <f t="shared" si="3"/>
        <v>0.16426035825492105</v>
      </c>
      <c r="L21" s="6">
        <f t="shared" si="3"/>
        <v>0.17080757467300059</v>
      </c>
    </row>
    <row r="22" spans="4:12" ht="23.4" x14ac:dyDescent="0.45">
      <c r="D22" s="21" t="s">
        <v>19</v>
      </c>
      <c r="E22" s="24"/>
      <c r="F22" s="24"/>
      <c r="G22" s="24"/>
      <c r="H22" s="6">
        <f>H14/H13</f>
        <v>0.24392238833098559</v>
      </c>
      <c r="I22" s="6">
        <f t="shared" ref="I22:L22" si="4">I14/I13</f>
        <v>0.27057984076911523</v>
      </c>
      <c r="J22" s="6">
        <f t="shared" si="4"/>
        <v>0.26449684490202591</v>
      </c>
      <c r="K22" s="6">
        <f t="shared" si="4"/>
        <v>0.27651401476502013</v>
      </c>
      <c r="L22" s="6">
        <f t="shared" si="4"/>
        <v>0.27064577081249308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FE4E-E2BE-460A-A175-C7BB6A213763}">
  <dimension ref="D4:J19"/>
  <sheetViews>
    <sheetView topLeftCell="A4" workbookViewId="0">
      <selection activeCell="J10" sqref="J10"/>
    </sheetView>
  </sheetViews>
  <sheetFormatPr defaultRowHeight="14.4" x14ac:dyDescent="0.3"/>
  <cols>
    <col min="4" max="4" width="39.88671875" bestFit="1" customWidth="1"/>
    <col min="5" max="5" width="20" bestFit="1" customWidth="1"/>
    <col min="6" max="9" width="22.6640625" bestFit="1" customWidth="1"/>
  </cols>
  <sheetData>
    <row r="4" spans="4:9" x14ac:dyDescent="0.3">
      <c r="D4" s="53" t="s">
        <v>33</v>
      </c>
      <c r="E4" s="53"/>
      <c r="F4" s="53"/>
      <c r="G4" s="53"/>
      <c r="H4" s="53"/>
      <c r="I4" s="53"/>
    </row>
    <row r="5" spans="4:9" x14ac:dyDescent="0.3">
      <c r="D5" s="53"/>
      <c r="E5" s="53"/>
      <c r="F5" s="53"/>
      <c r="G5" s="53"/>
      <c r="H5" s="53"/>
      <c r="I5" s="53"/>
    </row>
    <row r="6" spans="4:9" ht="23.4" x14ac:dyDescent="0.45">
      <c r="D6" s="25" t="s">
        <v>2</v>
      </c>
      <c r="E6" s="26" t="s">
        <v>0</v>
      </c>
      <c r="F6" s="9" t="s">
        <v>11</v>
      </c>
      <c r="G6" s="9" t="s">
        <v>12</v>
      </c>
      <c r="H6" s="9" t="s">
        <v>13</v>
      </c>
      <c r="I6" s="10" t="s">
        <v>14</v>
      </c>
    </row>
    <row r="7" spans="4:9" ht="23.4" x14ac:dyDescent="0.45">
      <c r="D7" s="15" t="s">
        <v>31</v>
      </c>
      <c r="E7" s="13"/>
      <c r="F7" s="13"/>
      <c r="G7" s="13"/>
      <c r="H7" s="13"/>
      <c r="I7" s="14"/>
    </row>
    <row r="8" spans="4:9" ht="23.4" x14ac:dyDescent="0.45">
      <c r="D8" s="15" t="s">
        <v>22</v>
      </c>
      <c r="E8" s="13"/>
      <c r="F8" s="13"/>
      <c r="G8" s="13"/>
      <c r="H8" s="13"/>
      <c r="I8" s="14"/>
    </row>
    <row r="9" spans="4:9" ht="23.4" x14ac:dyDescent="0.45">
      <c r="D9" s="15" t="s">
        <v>23</v>
      </c>
      <c r="E9" s="13">
        <v>54576</v>
      </c>
      <c r="F9" s="13">
        <v>60733</v>
      </c>
      <c r="G9" s="13">
        <v>67185</v>
      </c>
      <c r="H9" s="13">
        <v>70881</v>
      </c>
      <c r="I9" s="14">
        <v>89432</v>
      </c>
    </row>
    <row r="10" spans="4:9" ht="23.4" x14ac:dyDescent="0.45">
      <c r="D10" s="15" t="s">
        <v>24</v>
      </c>
      <c r="E10" s="13"/>
      <c r="F10" s="13"/>
      <c r="G10" s="13"/>
      <c r="H10" s="13"/>
      <c r="I10" s="14"/>
    </row>
    <row r="11" spans="4:9" ht="23.4" x14ac:dyDescent="0.45">
      <c r="D11" s="15" t="s">
        <v>25</v>
      </c>
      <c r="E11" s="13">
        <v>38192</v>
      </c>
      <c r="F11" s="13">
        <v>47653</v>
      </c>
      <c r="G11" s="13">
        <v>50700</v>
      </c>
      <c r="H11" s="13">
        <v>54935</v>
      </c>
      <c r="I11" s="14">
        <v>48382</v>
      </c>
    </row>
    <row r="12" spans="4:9" ht="23.4" x14ac:dyDescent="0.45">
      <c r="D12" s="15" t="s">
        <v>32</v>
      </c>
      <c r="E12" s="13">
        <f>E9+E11</f>
        <v>92768</v>
      </c>
      <c r="F12" s="13">
        <f t="shared" ref="F12:I12" si="0">F9+F11</f>
        <v>108386</v>
      </c>
      <c r="G12" s="13">
        <f t="shared" si="0"/>
        <v>117885</v>
      </c>
      <c r="H12" s="13">
        <f t="shared" si="0"/>
        <v>125816</v>
      </c>
      <c r="I12" s="14">
        <f t="shared" si="0"/>
        <v>137814</v>
      </c>
    </row>
    <row r="13" spans="4:9" ht="23.4" x14ac:dyDescent="0.45">
      <c r="D13" s="15" t="s">
        <v>20</v>
      </c>
      <c r="E13" s="13"/>
      <c r="F13" s="13"/>
      <c r="G13" s="13"/>
      <c r="H13" s="13"/>
      <c r="I13" s="14"/>
    </row>
    <row r="14" spans="4:9" ht="23.4" x14ac:dyDescent="0.45">
      <c r="D14" s="15" t="s">
        <v>21</v>
      </c>
      <c r="E14" s="13">
        <v>65844</v>
      </c>
      <c r="F14" s="13">
        <v>76782</v>
      </c>
      <c r="G14" s="13">
        <v>75736</v>
      </c>
      <c r="H14" s="13">
        <v>75795</v>
      </c>
      <c r="I14" s="14">
        <v>88461</v>
      </c>
    </row>
    <row r="15" spans="4:9" ht="23.4" x14ac:dyDescent="0.45">
      <c r="D15" s="15" t="s">
        <v>26</v>
      </c>
      <c r="E15" s="13"/>
      <c r="F15" s="13"/>
      <c r="G15" s="13"/>
      <c r="H15" s="13"/>
      <c r="I15" s="14"/>
    </row>
    <row r="16" spans="4:9" ht="23.4" x14ac:dyDescent="0.45">
      <c r="D16" s="15" t="s">
        <v>27</v>
      </c>
      <c r="E16" s="13">
        <v>20856</v>
      </c>
      <c r="F16" s="13">
        <v>23865</v>
      </c>
      <c r="G16" s="13">
        <v>33603</v>
      </c>
      <c r="H16" s="13">
        <v>39186</v>
      </c>
      <c r="I16" s="14">
        <v>38794</v>
      </c>
    </row>
    <row r="17" spans="4:10" ht="23.4" x14ac:dyDescent="0.45">
      <c r="D17" s="15" t="s">
        <v>28</v>
      </c>
      <c r="E17" s="13">
        <v>6068</v>
      </c>
      <c r="F17" s="13">
        <v>7739</v>
      </c>
      <c r="G17" s="13">
        <v>8546</v>
      </c>
      <c r="H17" s="13">
        <v>10835</v>
      </c>
      <c r="I17" s="14">
        <v>10559</v>
      </c>
    </row>
    <row r="18" spans="4:10" ht="23.4" x14ac:dyDescent="0.45">
      <c r="D18" s="15" t="s">
        <v>29</v>
      </c>
      <c r="E18" s="13">
        <f>E16+E17</f>
        <v>26924</v>
      </c>
      <c r="F18" s="13">
        <f t="shared" ref="F18:I18" si="1">F16+F17</f>
        <v>31604</v>
      </c>
      <c r="G18" s="13">
        <f t="shared" si="1"/>
        <v>42149</v>
      </c>
      <c r="H18" s="13">
        <f t="shared" si="1"/>
        <v>50021</v>
      </c>
      <c r="I18" s="14">
        <f t="shared" si="1"/>
        <v>49353</v>
      </c>
    </row>
    <row r="19" spans="4:10" ht="23.4" x14ac:dyDescent="0.45">
      <c r="D19" s="17" t="s">
        <v>30</v>
      </c>
      <c r="E19" s="18">
        <f>E14+E18</f>
        <v>92768</v>
      </c>
      <c r="F19" s="18">
        <f t="shared" ref="F19:I19" si="2">F14+F18</f>
        <v>108386</v>
      </c>
      <c r="G19" s="18">
        <f t="shared" si="2"/>
        <v>117885</v>
      </c>
      <c r="H19" s="18">
        <f t="shared" si="2"/>
        <v>125816</v>
      </c>
      <c r="I19" s="19">
        <f t="shared" si="2"/>
        <v>137814</v>
      </c>
      <c r="J19" s="3"/>
    </row>
  </sheetData>
  <mergeCells count="1">
    <mergeCell ref="D4:I5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7245-FA33-4CEF-9126-2CEB6EB382F2}">
  <dimension ref="D6:L12"/>
  <sheetViews>
    <sheetView workbookViewId="0">
      <selection activeCell="F22" sqref="F22"/>
    </sheetView>
  </sheetViews>
  <sheetFormatPr defaultRowHeight="14.4" x14ac:dyDescent="0.3"/>
  <cols>
    <col min="4" max="4" width="51.33203125" bestFit="1" customWidth="1"/>
    <col min="5" max="5" width="15.44140625" bestFit="1" customWidth="1"/>
    <col min="6" max="6" width="14.5546875" bestFit="1" customWidth="1"/>
    <col min="7" max="9" width="15.44140625" bestFit="1" customWidth="1"/>
  </cols>
  <sheetData>
    <row r="6" spans="4:12" ht="21" x14ac:dyDescent="0.4">
      <c r="D6" s="27" t="s">
        <v>34</v>
      </c>
      <c r="E6" s="27" t="s">
        <v>0</v>
      </c>
      <c r="F6" s="27" t="s">
        <v>11</v>
      </c>
      <c r="G6" s="27" t="s">
        <v>12</v>
      </c>
      <c r="H6" s="27" t="s">
        <v>13</v>
      </c>
      <c r="I6" s="27" t="s">
        <v>14</v>
      </c>
    </row>
    <row r="7" spans="4:12" ht="21" x14ac:dyDescent="0.4">
      <c r="D7" s="27" t="s">
        <v>35</v>
      </c>
      <c r="E7" s="27">
        <v>17003</v>
      </c>
      <c r="F7" s="27">
        <v>23224</v>
      </c>
      <c r="G7" s="27">
        <v>23885</v>
      </c>
      <c r="H7" s="27">
        <v>22467</v>
      </c>
      <c r="I7" s="27">
        <v>25210</v>
      </c>
    </row>
    <row r="8" spans="4:12" ht="21" x14ac:dyDescent="0.4">
      <c r="D8" s="27" t="s">
        <v>36</v>
      </c>
      <c r="E8" s="27">
        <v>-239</v>
      </c>
      <c r="F8" s="27">
        <v>-7456</v>
      </c>
      <c r="G8" s="27">
        <v>-6416</v>
      </c>
      <c r="H8" s="27">
        <v>-1209</v>
      </c>
      <c r="I8" s="27">
        <v>-5009</v>
      </c>
    </row>
    <row r="9" spans="4:12" ht="21" x14ac:dyDescent="0.4">
      <c r="D9" s="27" t="s">
        <v>37</v>
      </c>
      <c r="E9" s="27">
        <v>-17591</v>
      </c>
      <c r="F9" s="27">
        <v>-9786</v>
      </c>
      <c r="G9" s="27">
        <v>-24642</v>
      </c>
      <c r="H9" s="27">
        <v>-26695</v>
      </c>
      <c r="I9" s="27">
        <v>-17504</v>
      </c>
      <c r="L9" s="3"/>
    </row>
    <row r="10" spans="4:12" ht="21" x14ac:dyDescent="0.4">
      <c r="D10" s="27" t="s">
        <v>38</v>
      </c>
      <c r="E10" s="27">
        <f>E7+E8+E9</f>
        <v>-827</v>
      </c>
      <c r="F10" s="27">
        <f t="shared" ref="F10:I10" si="0">F7+F8+F9</f>
        <v>5982</v>
      </c>
      <c r="G10" s="27">
        <f t="shared" si="0"/>
        <v>-7173</v>
      </c>
      <c r="H10" s="27">
        <f t="shared" si="0"/>
        <v>-5437</v>
      </c>
      <c r="I10" s="27">
        <f t="shared" si="0"/>
        <v>2697</v>
      </c>
    </row>
    <row r="11" spans="4:12" ht="21" x14ac:dyDescent="0.4">
      <c r="D11" s="27" t="s">
        <v>39</v>
      </c>
      <c r="E11" s="27">
        <v>19476</v>
      </c>
      <c r="F11" s="27">
        <v>18732</v>
      </c>
      <c r="G11" s="27">
        <v>24645</v>
      </c>
      <c r="H11" s="27">
        <v>17610</v>
      </c>
      <c r="I11" s="27">
        <v>12089</v>
      </c>
      <c r="L11" s="3"/>
    </row>
    <row r="12" spans="4:12" ht="21" x14ac:dyDescent="0.4">
      <c r="D12" s="27" t="s">
        <v>40</v>
      </c>
      <c r="E12" s="27">
        <f>E10+E11</f>
        <v>18649</v>
      </c>
      <c r="F12" s="27">
        <f t="shared" ref="F12:I12" si="1">F10+F11</f>
        <v>24714</v>
      </c>
      <c r="G12" s="27">
        <f t="shared" si="1"/>
        <v>17472</v>
      </c>
      <c r="H12" s="27">
        <f t="shared" si="1"/>
        <v>12173</v>
      </c>
      <c r="I12" s="27">
        <f t="shared" si="1"/>
        <v>14786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DB1F-F0F0-41E9-81D1-CB7B2BAEC30D}">
  <dimension ref="D6:I16"/>
  <sheetViews>
    <sheetView topLeftCell="A5" workbookViewId="0">
      <selection activeCell="E20" sqref="E20"/>
    </sheetView>
  </sheetViews>
  <sheetFormatPr defaultRowHeight="14.4" x14ac:dyDescent="0.3"/>
  <cols>
    <col min="4" max="4" width="46" bestFit="1" customWidth="1"/>
    <col min="5" max="9" width="17.6640625" bestFit="1" customWidth="1"/>
  </cols>
  <sheetData>
    <row r="6" spans="4:9" ht="28.8" x14ac:dyDescent="0.55000000000000004">
      <c r="D6" s="28" t="s">
        <v>34</v>
      </c>
      <c r="E6" s="28" t="s">
        <v>0</v>
      </c>
      <c r="F6" s="28" t="s">
        <v>11</v>
      </c>
      <c r="G6" s="28" t="s">
        <v>12</v>
      </c>
      <c r="H6" s="28" t="s">
        <v>13</v>
      </c>
      <c r="I6" s="28" t="s">
        <v>14</v>
      </c>
    </row>
    <row r="7" spans="4:9" ht="28.8" x14ac:dyDescent="0.55000000000000004">
      <c r="D7" s="28" t="s">
        <v>15</v>
      </c>
      <c r="E7" s="29"/>
      <c r="F7" s="30">
        <f>('Income Statement'!I9-'Income Statement'!H9)/'Income Statement'!H9</f>
        <v>0.10662951173574474</v>
      </c>
      <c r="G7" s="30">
        <f>('Income Statement'!J9-'Income Statement'!I9)/'Income Statement'!I9</f>
        <v>0.21069551715900947</v>
      </c>
      <c r="H7" s="30">
        <f>('Income Statement'!K9-'Income Statement'!J9)/'Income Statement'!J9</f>
        <v>0.20655864387829762</v>
      </c>
      <c r="I7" s="30">
        <f>('Income Statement'!L9-'Income Statement'!K9)/'Income Statement'!K9</f>
        <v>4.7033733741236108E-2</v>
      </c>
    </row>
    <row r="8" spans="4:9" ht="28.8" x14ac:dyDescent="0.55000000000000004">
      <c r="D8" s="28" t="s">
        <v>41</v>
      </c>
      <c r="E8" s="29"/>
      <c r="F8" s="30">
        <f>('Income Statement'!I15-'Income Statement'!H15)/'Income Statement'!H15</f>
        <v>0.1673177474607849</v>
      </c>
      <c r="G8" s="30">
        <f>('Income Statement'!J15-'Income Statement'!I15)/'Income Statement'!I15</f>
        <v>0.14019461463213714</v>
      </c>
      <c r="H8" s="30">
        <f>('Income Statement'!K15-'Income Statement'!J15)/'Income Statement'!J15</f>
        <v>8.8593876998103491E-2</v>
      </c>
      <c r="I8" s="30">
        <f>('Income Statement'!L15-'Income Statement'!K15)/'Income Statement'!K15</f>
        <v>8.8767214202754269E-2</v>
      </c>
    </row>
    <row r="9" spans="4:9" ht="28.8" x14ac:dyDescent="0.55000000000000004">
      <c r="D9" s="28" t="s">
        <v>18</v>
      </c>
      <c r="E9" s="30">
        <f>'Income Statement'!H15/Table5[[#This Row],[Column5]]</f>
        <v>0.18326706391602693</v>
      </c>
      <c r="F9" s="30">
        <f>'Income Statement'!I15/Table5[[#This Row],[Column6]]</f>
        <v>0.19331754120550998</v>
      </c>
      <c r="G9" s="30">
        <f>'Income Statement'!J15/Table5[[#This Row],[Column7]]</f>
        <v>0.1820603250548746</v>
      </c>
      <c r="H9" s="30">
        <f>'Income Statement'!K15/Table5[[#This Row],[Column8]]</f>
        <v>0.16426035825492105</v>
      </c>
      <c r="I9" s="30">
        <f>'Income Statement'!L15/Table5[[#This Row],[Column9]]</f>
        <v>0.17080757467300059</v>
      </c>
    </row>
    <row r="10" spans="4:9" ht="28.8" x14ac:dyDescent="0.55000000000000004">
      <c r="D10" s="28" t="s">
        <v>42</v>
      </c>
      <c r="E10" s="30">
        <f>'Income Statement'!H15/'Balance Sheet'!E12</f>
        <v>0.1793614177302518</v>
      </c>
      <c r="F10" s="30">
        <f>'Income Statement'!I15/'Balance Sheet'!F12</f>
        <v>0.179202110973742</v>
      </c>
      <c r="G10" s="30">
        <f>'Income Statement'!J15/'Balance Sheet'!G12</f>
        <v>0.18786105102430334</v>
      </c>
      <c r="H10" s="30">
        <f>'Income Statement'!K15/'Balance Sheet'!H12</f>
        <v>0.19161314936097157</v>
      </c>
      <c r="I10" s="30">
        <f>'Income Statement'!L15/'Balance Sheet'!I12</f>
        <v>0.19045960497482115</v>
      </c>
    </row>
    <row r="11" spans="4:9" ht="28.8" x14ac:dyDescent="0.55000000000000004">
      <c r="D11" s="28" t="s">
        <v>43</v>
      </c>
      <c r="E11" s="30">
        <f>'Income Statement'!H15/'Balance Sheet'!E14</f>
        <v>0.25270335945568312</v>
      </c>
      <c r="F11" s="30">
        <f>'Income Statement'!I15/'Balance Sheet'!F14</f>
        <v>0.25296293402099451</v>
      </c>
      <c r="G11" s="30">
        <f>'Income Statement'!J15/'Balance Sheet'!G14</f>
        <v>0.29241047850427804</v>
      </c>
      <c r="H11" s="30">
        <f>'Income Statement'!K15/'Balance Sheet'!H14</f>
        <v>0.31806847417375816</v>
      </c>
      <c r="I11" s="30">
        <f>'Income Statement'!L15/'Balance Sheet'!I14</f>
        <v>0.29671832785069124</v>
      </c>
    </row>
    <row r="12" spans="4:9" ht="28.8" x14ac:dyDescent="0.55000000000000004">
      <c r="D12" s="28" t="s">
        <v>44</v>
      </c>
      <c r="E12" s="31">
        <f>'Balance Sheet'!E9/'Balance Sheet'!E16</f>
        <v>2.6168009205983891</v>
      </c>
      <c r="F12" s="31">
        <f>'Balance Sheet'!F9/'Balance Sheet'!F16</f>
        <v>2.5448564843913681</v>
      </c>
      <c r="G12" s="31">
        <f>'Balance Sheet'!G9/'Balance Sheet'!G16</f>
        <v>1.9993750557985894</v>
      </c>
      <c r="H12" s="31">
        <f>'Balance Sheet'!H9/'Balance Sheet'!H16</f>
        <v>1.8088347879344664</v>
      </c>
      <c r="I12" s="31">
        <f>'Balance Sheet'!I9/'Balance Sheet'!I16</f>
        <v>2.3053049440635149</v>
      </c>
    </row>
    <row r="13" spans="4:9" ht="28.8" x14ac:dyDescent="0.55000000000000004">
      <c r="D13" s="28" t="s">
        <v>45</v>
      </c>
      <c r="E13" s="31">
        <f>'Balance Sheet'!E18/'Balance Sheet'!E12</f>
        <v>0.29022938944463605</v>
      </c>
      <c r="F13" s="31">
        <f>'Balance Sheet'!F18/'Balance Sheet'!F12</f>
        <v>0.29158747439706234</v>
      </c>
      <c r="G13" s="31">
        <f>'Balance Sheet'!G18/'Balance Sheet'!G12</f>
        <v>0.35754336853713364</v>
      </c>
      <c r="H13" s="31">
        <f>'Balance Sheet'!H18/'Balance Sheet'!H12</f>
        <v>0.39757264576842372</v>
      </c>
      <c r="I13" s="31">
        <f>'Balance Sheet'!I18/'Balance Sheet'!I12</f>
        <v>0.35811310897296356</v>
      </c>
    </row>
    <row r="14" spans="4:9" ht="28.8" x14ac:dyDescent="0.55000000000000004">
      <c r="D14" s="28" t="s">
        <v>46</v>
      </c>
      <c r="E14" s="31">
        <f>'Balance Sheet'!E18/Table1[[#This Row],[2019-20]]</f>
        <v>0.40890589879108197</v>
      </c>
      <c r="F14" s="31">
        <f>'Balance Sheet'!F18/Table1[[#This Row],[2020-21]]</f>
        <v>0.41160688703081449</v>
      </c>
      <c r="G14" s="31">
        <f>'Balance Sheet'!G18/Table1[[#This Row],[2021-22]]</f>
        <v>0.55652529840498577</v>
      </c>
      <c r="H14" s="31">
        <f>'Balance Sheet'!H18/Table1[[#This Row],[2022-23]]</f>
        <v>0.65995118411504716</v>
      </c>
      <c r="I14" s="31">
        <f>'Balance Sheet'!I18/Table1[[#This Row],[2023-24]]</f>
        <v>0.55790687421575613</v>
      </c>
    </row>
    <row r="15" spans="4:9" ht="28.8" x14ac:dyDescent="0.55000000000000004">
      <c r="D15" s="28" t="s">
        <v>47</v>
      </c>
      <c r="E15" s="31">
        <f>'Income Statement'!H9/'Balance Sheet'!E12</f>
        <v>0.97868877199034154</v>
      </c>
      <c r="F15" s="31">
        <f>'Income Statement'!I9/'Balance Sheet'!F12</f>
        <v>0.92698318971084825</v>
      </c>
      <c r="G15" s="31">
        <f>'Income Statement'!J9/'Balance Sheet'!G12</f>
        <v>1.0318615599949104</v>
      </c>
      <c r="H15" s="31">
        <f>'Income Statement'!K9/'Balance Sheet'!H12</f>
        <v>1.1665209512303683</v>
      </c>
      <c r="I15" s="31">
        <f>'Income Statement'!L9/'Balance Sheet'!I12</f>
        <v>1.1150536229991148</v>
      </c>
    </row>
    <row r="16" spans="4:9" ht="28.8" x14ac:dyDescent="0.55000000000000004">
      <c r="D16" s="28" t="s">
        <v>48</v>
      </c>
      <c r="E16" s="31">
        <f>'Cash Flow'!E7/Table1[[#This Row],[2019-20]]</f>
        <v>0.81525700038358262</v>
      </c>
      <c r="F16" s="31">
        <f>'Cash Flow'!F7/Table1[[#This Row],[2020-21]]</f>
        <v>0.97314058244290802</v>
      </c>
      <c r="G16" s="31">
        <f>'Cash Flow'!G7/Table1[[#This Row],[2021-22]]</f>
        <v>0.71079963098532872</v>
      </c>
      <c r="H16" s="31">
        <f>'Cash Flow'!H7/Table1[[#This Row],[2022-23]]</f>
        <v>0.57334252028785793</v>
      </c>
      <c r="I16" s="31">
        <f>'Cash Flow'!I7/Table1[[#This Row],[2023-24]]</f>
        <v>0.64984275918956536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37DD-7CB4-41AB-B0F1-8762D36FC8C9}">
  <dimension ref="M4:AG14"/>
  <sheetViews>
    <sheetView tabSelected="1" topLeftCell="F1" zoomScale="70" zoomScaleNormal="70" workbookViewId="0">
      <selection activeCell="H6" sqref="H6"/>
    </sheetView>
  </sheetViews>
  <sheetFormatPr defaultRowHeight="14.4" x14ac:dyDescent="0.3"/>
  <cols>
    <col min="13" max="13" width="18.33203125" bestFit="1" customWidth="1"/>
    <col min="14" max="14" width="18.44140625" bestFit="1" customWidth="1"/>
    <col min="15" max="15" width="19.44140625" customWidth="1"/>
    <col min="16" max="16" width="28.88671875" bestFit="1" customWidth="1"/>
    <col min="17" max="17" width="16.44140625" bestFit="1" customWidth="1"/>
    <col min="18" max="18" width="19.44140625" bestFit="1" customWidth="1"/>
    <col min="19" max="19" width="20.5546875" bestFit="1" customWidth="1"/>
    <col min="20" max="20" width="25" bestFit="1" customWidth="1"/>
    <col min="21" max="21" width="15.21875" bestFit="1" customWidth="1"/>
  </cols>
  <sheetData>
    <row r="4" spans="13:33" ht="14.4" customHeight="1" x14ac:dyDescent="0.7">
      <c r="M4" s="50" t="s">
        <v>55</v>
      </c>
      <c r="N4" s="51"/>
      <c r="O4" s="51"/>
      <c r="P4" s="51"/>
      <c r="Q4" s="51"/>
      <c r="R4" s="51"/>
      <c r="S4" s="51"/>
      <c r="T4" s="51"/>
      <c r="U4" s="32"/>
      <c r="V4" s="32"/>
    </row>
    <row r="5" spans="13:33" ht="14.4" customHeight="1" x14ac:dyDescent="0.7">
      <c r="M5" s="51"/>
      <c r="N5" s="51"/>
      <c r="O5" s="51"/>
      <c r="P5" s="51"/>
      <c r="Q5" s="51"/>
      <c r="R5" s="51"/>
      <c r="S5" s="51"/>
      <c r="T5" s="51"/>
      <c r="U5" s="32"/>
      <c r="V5" s="32"/>
    </row>
    <row r="6" spans="13:33" ht="14.4" customHeight="1" x14ac:dyDescent="0.7">
      <c r="M6" s="51"/>
      <c r="N6" s="51"/>
      <c r="O6" s="51"/>
      <c r="P6" s="51"/>
      <c r="Q6" s="51"/>
      <c r="R6" s="51"/>
      <c r="S6" s="51"/>
      <c r="T6" s="51"/>
      <c r="U6" s="32"/>
      <c r="V6" s="32"/>
    </row>
    <row r="7" spans="13:33" ht="21" x14ac:dyDescent="0.4">
      <c r="M7" s="33" t="s">
        <v>49</v>
      </c>
      <c r="N7" s="35" t="s">
        <v>50</v>
      </c>
      <c r="O7" s="37" t="s">
        <v>32</v>
      </c>
      <c r="P7" s="39" t="s">
        <v>51</v>
      </c>
      <c r="Q7" s="41" t="s">
        <v>52</v>
      </c>
      <c r="R7" s="43" t="s">
        <v>44</v>
      </c>
      <c r="S7" s="45" t="s">
        <v>46</v>
      </c>
      <c r="T7" s="47" t="s">
        <v>53</v>
      </c>
    </row>
    <row r="8" spans="13:33" ht="28.8" x14ac:dyDescent="0.55000000000000004">
      <c r="M8" s="34">
        <v>153670</v>
      </c>
      <c r="N8" s="36">
        <v>26248</v>
      </c>
      <c r="O8" s="38">
        <v>137814</v>
      </c>
      <c r="P8" s="40">
        <v>25210</v>
      </c>
      <c r="Q8" s="42">
        <v>0.29671832785069124</v>
      </c>
      <c r="R8" s="44">
        <v>2.3053049440635149</v>
      </c>
      <c r="S8" s="46">
        <v>0.55790687421575613</v>
      </c>
      <c r="T8" s="48">
        <v>0.17080757467300059</v>
      </c>
    </row>
    <row r="14" spans="13:33" x14ac:dyDescent="0.3">
      <c r="AG14" t="s">
        <v>54</v>
      </c>
    </row>
  </sheetData>
  <mergeCells count="1">
    <mergeCell ref="M4:T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</vt:lpstr>
      <vt:lpstr>Income Statement</vt:lpstr>
      <vt:lpstr>Balance Sheet</vt:lpstr>
      <vt:lpstr>Cash Flow</vt:lpstr>
      <vt:lpstr>Ratios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 raj</dc:creator>
  <cp:lastModifiedBy>nisarg raj</cp:lastModifiedBy>
  <dcterms:created xsi:type="dcterms:W3CDTF">2026-07-30T05:31:15Z</dcterms:created>
  <dcterms:modified xsi:type="dcterms:W3CDTF">2026-07-31T01:40:04Z</dcterms:modified>
</cp:coreProperties>
</file>